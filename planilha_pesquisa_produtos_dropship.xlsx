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nie\OneDrive\Imagens\PRODTOS ENCONTARDO\"/>
    </mc:Choice>
  </mc:AlternateContent>
  <xr:revisionPtr revIDLastSave="0" documentId="8_{CF4C4857-B8B1-44A8-9A8C-4CC791D1C437}" xr6:coauthVersionLast="47" xr6:coauthVersionMax="47" xr10:uidLastSave="{00000000-0000-0000-0000-000000000000}"/>
  <bookViews>
    <workbookView xWindow="2268" yWindow="2268" windowWidth="17280" windowHeight="8880" xr2:uid="{099622A5-48AF-4003-8865-6BBE12DCB42A}"/>
  </bookViews>
  <sheets>
    <sheet name="Viabilidade Produ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8" i="1" l="1"/>
  <c r="AA8" i="1"/>
  <c r="Z8" i="1"/>
  <c r="Y8" i="1"/>
  <c r="W8" i="1"/>
  <c r="T8" i="1"/>
  <c r="O8" i="1"/>
  <c r="AB7" i="1"/>
  <c r="AA7" i="1"/>
  <c r="Z7" i="1"/>
  <c r="Y7" i="1"/>
  <c r="W7" i="1"/>
  <c r="T7" i="1"/>
  <c r="O7" i="1"/>
  <c r="AB6" i="1"/>
  <c r="AA6" i="1"/>
  <c r="Z6" i="1"/>
  <c r="Y6" i="1"/>
  <c r="W6" i="1"/>
  <c r="T6" i="1"/>
  <c r="O6" i="1"/>
  <c r="AB5" i="1"/>
  <c r="AA5" i="1"/>
  <c r="Z5" i="1"/>
  <c r="Y5" i="1"/>
  <c r="W5" i="1"/>
  <c r="T5" i="1"/>
  <c r="O5" i="1"/>
  <c r="AB4" i="1"/>
  <c r="AA4" i="1"/>
  <c r="Z4" i="1"/>
  <c r="Y4" i="1"/>
  <c r="W4" i="1"/>
  <c r="T4" i="1"/>
  <c r="O4" i="1"/>
</calcChain>
</file>

<file path=xl/sharedStrings.xml><?xml version="1.0" encoding="utf-8"?>
<sst xmlns="http://schemas.openxmlformats.org/spreadsheetml/2006/main" count="105" uniqueCount="73">
  <si>
    <t>PLANILHA DE PESQUISA E VIABILIDADE DE PRODUTOS - Dropship: Shopee (fornecedor) envia direto ao cliente da Amazon</t>
  </si>
  <si>
    <t>PRODUTO</t>
  </si>
  <si>
    <t>PESQUISA NA AMAZON (mercado)</t>
  </si>
  <si>
    <t>FORNECEDOR NA SHOPEE - ENVIO DIRETO</t>
  </si>
  <si>
    <t>ENVIO DIRETO AO CLIENTE</t>
  </si>
  <si>
    <t>PRECIFICAÃ‡ÃƒO E CUSTOS</t>
  </si>
  <si>
    <t>RESULTADO</t>
  </si>
  <si>
    <t>GESTÃƒO</t>
  </si>
  <si>
    <t>NÂº</t>
  </si>
  <si>
    <t>Data da pesquisa</t>
  </si>
  <si>
    <t>Produto</t>
  </si>
  <si>
    <t>Categoria</t>
  </si>
  <si>
    <t>Link do anÃºncio (Amazon)</t>
  </si>
  <si>
    <t>PreÃ§o de venda na Amazon (R$)</t>
  </si>
  <si>
    <t>Vendas estimadas/mÃªs</t>
  </si>
  <si>
    <t>NÂº de avaliaÃ§Ãµes</t>
  </si>
  <si>
    <t>Nota mÃ©dia (0-5)</t>
  </si>
  <si>
    <t>NÂº de concorrentes</t>
  </si>
  <si>
    <t>Fornecedor (loja na Shopee)</t>
  </si>
  <si>
    <t>Link do fornecedor</t>
  </si>
  <si>
    <t>PreÃ§o de custo unitÃ¡rio (R$)</t>
  </si>
  <si>
    <t>Frete atÃ© o cliente (R$) - estimado</t>
  </si>
  <si>
    <t>Custo entregue no cliente (R$)</t>
  </si>
  <si>
    <t>Qtd. mÃ­nima por pedido</t>
  </si>
  <si>
    <t>Prazo de entrega atÃ© o cliente (dias)</t>
  </si>
  <si>
    <t>Envia com nota/embalagem prÃ³pria?</t>
  </si>
  <si>
    <t>Aceita endereÃ§o de entrega diferente?</t>
  </si>
  <si>
    <t>PreÃ§o de venda no anÃºncio (R$)</t>
  </si>
  <si>
    <t>Frete cobrado do cliente (R$)</t>
  </si>
  <si>
    <t>Taxa Amazon (%)</t>
  </si>
  <si>
    <t>Taxa Amazon (R$)</t>
  </si>
  <si>
    <t>Outros custos (R$)</t>
  </si>
  <si>
    <t>Custo total por venda (R$)</t>
  </si>
  <si>
    <t>Lucro lÃ­quido por unidade (R$)</t>
  </si>
  <si>
    <t>Margem de lucro (%)</t>
  </si>
  <si>
    <t>ROI (%)</t>
  </si>
  <si>
    <t>Status</t>
  </si>
  <si>
    <t>Prioridade</t>
  </si>
  <si>
    <t>ObservaÃ§Ãµes</t>
  </si>
  <si>
    <t>Kit 3 Potes Organizadores para Geladeira Premium</t>
  </si>
  <si>
    <t>Cozinha / OrganizaÃ§Ã£o</t>
  </si>
  <si>
    <t>https://www.amazon.com.br/Organizadores-Geladeira-Escorredores-Herm%C3%A9ticas-Conserva/dp/B0H9P9QR57</t>
  </si>
  <si>
    <t>N/I</t>
  </si>
  <si>
    <t>Shopee (Cruzeiro, SP)</t>
  </si>
  <si>
    <t>https://shopee.com.br/Kit-3-potes-Organizadores-Geladeira-Organizador-Alimentos-Vegetais-Cozinha-Moderna-i.629805123.58205197736</t>
  </si>
  <si>
    <t>5 a 10 dias</t>
  </si>
  <si>
    <t>NÃ£o</t>
  </si>
  <si>
    <t>Sim</t>
  </si>
  <si>
    <t>Em anÃ¡lise</t>
  </si>
  <si>
    <t>Alta</t>
  </si>
  <si>
    <t>Nota 5,0 na Amazon. Com cupom frete grÃ¡tis Shopee o lucro fica em +R$ 4,33 (9,86%).</t>
  </si>
  <si>
    <t>PrÃ© Treino Insane Clown 350g Demons Lab - Blue Crystal</t>
  </si>
  <si>
    <t>Suplementos / SaÃºde</t>
  </si>
  <si>
    <t>https://www.amazon.com.br/Treino-Insane-Clown-350g-Demons/dp/B0GYQM5WFT</t>
  </si>
  <si>
    <t>https://shopee.com.br/INSANE-CLOWN-350G-BLUE-CRYSTAL-i.384424516.22391686410</t>
  </si>
  <si>
    <t>MÃ©dia</t>
  </si>
  <si>
    <t>Recomenda-se ajustar preÃ§o na Amazon para R$ 139,90 para garantir margem positiva.</t>
  </si>
  <si>
    <t>Kit 6 Pares Meias Cano InvisÃ­vel Lupo Sport Sapatilha</t>
  </si>
  <si>
    <t>Moda / Roupas</t>
  </si>
  <si>
    <t>https://www.amazon.com.br/Lupo-esportivas-algod%C3%A3o-respir%C3%A1vel-pares/dp/B00PROD03</t>
  </si>
  <si>
    <t>Shopee Lojas Oficiais</t>
  </si>
  <si>
    <t>https://shopee.com.br/Kit-De-6-Pares-Meias-Cano-Invis%C3%ADvel-Lupo-Sport-Algod%C3%A3o-Soquete-Sapatilha-Unissex</t>
  </si>
  <si>
    <t>Alta demanda na Amazon (4,8â˜… com 1,4k+ avaliaÃ§Ãµes). Lucro sobe para R$ 14,44 (19,27%) com frete grÃ¡tis.</t>
  </si>
  <si>
    <t>Carregador Turbo Duo 168W USB-C e USB-A com Cabo USB-C</t>
  </si>
  <si>
    <t>EletrÃ´nicos / AcessÃ³rios</t>
  </si>
  <si>
    <t>https://www.amazon.com.br/dp/B0H5XWN3WD</t>
  </si>
  <si>
    <t>https://shopee.com.br/product/1572491828/22094298275</t>
  </si>
  <si>
    <t>Produto Destaque! Lucro de R$ 32,42 a R$ 42,04 por unidade (Margem &gt; 40% e ROI atÃ© 162%).</t>
  </si>
  <si>
    <t>Jogo de Talheres Faqueiro AÃ§o Inox 24 PeÃ§as</t>
  </si>
  <si>
    <t>Cozinha / UtensÃ­lios</t>
  </si>
  <si>
    <t>https://www.amazon.com.br/Jogo-Talheres-Faqueiro-Inox-Pecas/dp/B00PROD05</t>
  </si>
  <si>
    <t>https://shopee.com.br/Jogo-de-Talheres-24-Pe%C3%A7as-Faqueiro-A%C3%A7o-Inox-Faca-Garfo-Colher-de-Mesa-e-Colheres-de-Sobremesa</t>
  </si>
  <si>
    <t>Boa margem de lucro (18% a 36%), porÃ©m requer atenÃ§Ã£o pela nota 2,6 na Amazon.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</si>
</sst>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.##000"/>
    <numFmt numFmtId="165" formatCode="#,#00%"/>
    <numFmt numFmtId="166" formatCode="#,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305C"/>
        <bgColor indexed="64"/>
      </patternFill>
    </fill>
    <fill>
      <patternFill patternType="solid">
        <fgColor rgb="FFA0307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993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6D66-59FE-4FB3-973C-BC5BC892EE0A}">
  <dimension ref="A1:AE8"/>
  <sheetViews>
    <sheetView tabSelected="1" workbookViewId="0"/>
  </sheetViews>
  <sheetFormatPr defaultRowHeight="14.4" x14ac:dyDescent="0.3"/>
  <cols>
    <col min="1" max="1" width="4.44140625" bestFit="1" customWidth="1"/>
    <col min="2" max="2" width="15.33203125" bestFit="1" customWidth="1"/>
    <col min="3" max="3" width="52.21875" bestFit="1" customWidth="1"/>
    <col min="4" max="4" width="22" bestFit="1" customWidth="1"/>
    <col min="5" max="5" width="98" bestFit="1" customWidth="1"/>
    <col min="6" max="6" width="29.6640625" bestFit="1" customWidth="1"/>
    <col min="7" max="7" width="21.77734375" bestFit="1" customWidth="1"/>
    <col min="8" max="8" width="18.88671875" bestFit="1" customWidth="1"/>
    <col min="9" max="9" width="17.33203125" bestFit="1" customWidth="1"/>
    <col min="10" max="10" width="18.6640625" bestFit="1" customWidth="1"/>
    <col min="11" max="11" width="25.109375" bestFit="1" customWidth="1"/>
    <col min="12" max="12" width="118.6640625" bestFit="1" customWidth="1"/>
    <col min="13" max="13" width="26.88671875" bestFit="1" customWidth="1"/>
    <col min="14" max="14" width="31.5546875" bestFit="1" customWidth="1"/>
    <col min="15" max="15" width="26.77734375" bestFit="1" customWidth="1"/>
    <col min="16" max="16" width="22.88671875" bestFit="1" customWidth="1"/>
    <col min="17" max="17" width="33.33203125" bestFit="1" customWidth="1"/>
    <col min="18" max="18" width="33.6640625" bestFit="1" customWidth="1"/>
    <col min="19" max="19" width="35" bestFit="1" customWidth="1"/>
    <col min="20" max="20" width="30.6640625" bestFit="1" customWidth="1"/>
    <col min="21" max="21" width="25.6640625" bestFit="1" customWidth="1"/>
    <col min="22" max="22" width="15.5546875" bestFit="1" customWidth="1"/>
    <col min="23" max="23" width="16.21875" bestFit="1" customWidth="1"/>
    <col min="24" max="24" width="16.44140625" bestFit="1" customWidth="1"/>
    <col min="25" max="25" width="23.33203125" bestFit="1" customWidth="1"/>
    <col min="26" max="26" width="28.33203125" bestFit="1" customWidth="1"/>
    <col min="27" max="27" width="18.77734375" bestFit="1" customWidth="1"/>
    <col min="28" max="28" width="7.21875" bestFit="1" customWidth="1"/>
    <col min="29" max="29" width="10.44140625" bestFit="1" customWidth="1"/>
    <col min="30" max="30" width="9.6640625" bestFit="1" customWidth="1"/>
    <col min="31" max="31" width="94.77734375" bestFit="1" customWidth="1"/>
  </cols>
  <sheetData>
    <row r="1" spans="1:31" ht="17.39999999999999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2" t="s">
        <v>1</v>
      </c>
      <c r="B2" s="2"/>
      <c r="C2" s="2"/>
      <c r="D2" s="2"/>
      <c r="E2" s="3" t="s">
        <v>2</v>
      </c>
      <c r="F2" s="3"/>
      <c r="G2" s="3"/>
      <c r="H2" s="3"/>
      <c r="I2" s="3"/>
      <c r="J2" s="3"/>
      <c r="K2" s="4" t="s">
        <v>3</v>
      </c>
      <c r="L2" s="4"/>
      <c r="M2" s="4"/>
      <c r="N2" s="4"/>
      <c r="O2" s="4"/>
      <c r="P2" s="4" t="s">
        <v>4</v>
      </c>
      <c r="Q2" s="4"/>
      <c r="R2" s="4"/>
      <c r="S2" s="4"/>
      <c r="T2" s="5" t="s">
        <v>5</v>
      </c>
      <c r="U2" s="5"/>
      <c r="V2" s="5"/>
      <c r="W2" s="5"/>
      <c r="X2" s="5"/>
      <c r="Y2" s="5"/>
      <c r="Z2" s="6" t="s">
        <v>6</v>
      </c>
      <c r="AA2" s="6"/>
      <c r="AB2" s="6"/>
      <c r="AC2" s="7" t="s">
        <v>7</v>
      </c>
      <c r="AD2" s="7"/>
      <c r="AE2" s="7"/>
    </row>
    <row r="3" spans="1:31" x14ac:dyDescent="0.3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8" t="s">
        <v>22</v>
      </c>
      <c r="P3" s="8" t="s">
        <v>23</v>
      </c>
      <c r="Q3" s="8" t="s">
        <v>24</v>
      </c>
      <c r="R3" s="8" t="s">
        <v>25</v>
      </c>
      <c r="S3" s="8" t="s">
        <v>26</v>
      </c>
      <c r="T3" s="8" t="s">
        <v>27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32</v>
      </c>
      <c r="Z3" s="8" t="s">
        <v>33</v>
      </c>
      <c r="AA3" s="8" t="s">
        <v>34</v>
      </c>
      <c r="AB3" s="8" t="s">
        <v>35</v>
      </c>
      <c r="AC3" s="8" t="s">
        <v>36</v>
      </c>
      <c r="AD3" s="8" t="s">
        <v>37</v>
      </c>
      <c r="AE3" s="8" t="s">
        <v>38</v>
      </c>
    </row>
    <row r="4" spans="1:31" x14ac:dyDescent="0.3">
      <c r="A4">
        <v>1</v>
      </c>
      <c r="B4" s="9">
        <v>46304</v>
      </c>
      <c r="C4" t="s">
        <v>39</v>
      </c>
      <c r="D4" t="s">
        <v>40</v>
      </c>
      <c r="E4" t="s">
        <v>41</v>
      </c>
      <c r="F4" s="10">
        <v>43.9</v>
      </c>
      <c r="G4" t="s">
        <v>42</v>
      </c>
      <c r="H4">
        <v>1</v>
      </c>
      <c r="I4">
        <v>5</v>
      </c>
      <c r="J4">
        <v>1</v>
      </c>
      <c r="K4" t="s">
        <v>43</v>
      </c>
      <c r="L4" t="s">
        <v>44</v>
      </c>
      <c r="M4" s="10">
        <v>32.979999999999997</v>
      </c>
      <c r="N4" s="10">
        <v>12.04</v>
      </c>
      <c r="O4" s="10">
        <f>M4+N4</f>
        <v>45.019999999999996</v>
      </c>
      <c r="P4">
        <v>1</v>
      </c>
      <c r="Q4" t="s">
        <v>45</v>
      </c>
      <c r="R4" t="s">
        <v>46</v>
      </c>
      <c r="S4" t="s">
        <v>47</v>
      </c>
      <c r="T4" s="10">
        <f>F4</f>
        <v>43.9</v>
      </c>
      <c r="U4" s="10">
        <v>0</v>
      </c>
      <c r="V4" s="11">
        <v>0.15</v>
      </c>
      <c r="W4" s="10">
        <f>T4*V4</f>
        <v>6.585</v>
      </c>
      <c r="X4" s="10">
        <v>0</v>
      </c>
      <c r="Y4" s="10">
        <f>O4+W4+X4</f>
        <v>51.604999999999997</v>
      </c>
      <c r="Z4" s="10">
        <f>(T4+U4)-Y4</f>
        <v>-7.7049999999999983</v>
      </c>
      <c r="AA4" s="12">
        <f>Z4/T4</f>
        <v>-0.17551252847380408</v>
      </c>
      <c r="AB4" s="12">
        <f>Z4/O4</f>
        <v>-0.17114615726343846</v>
      </c>
      <c r="AC4" t="s">
        <v>48</v>
      </c>
      <c r="AD4" t="s">
        <v>49</v>
      </c>
      <c r="AE4" t="s">
        <v>50</v>
      </c>
    </row>
    <row r="5" spans="1:31" x14ac:dyDescent="0.3">
      <c r="A5">
        <v>2</v>
      </c>
      <c r="B5" s="9">
        <v>46304</v>
      </c>
      <c r="C5" t="s">
        <v>51</v>
      </c>
      <c r="D5" t="s">
        <v>52</v>
      </c>
      <c r="E5" t="s">
        <v>53</v>
      </c>
      <c r="F5" s="10">
        <v>116.9</v>
      </c>
      <c r="G5" t="s">
        <v>42</v>
      </c>
      <c r="H5" t="s">
        <v>42</v>
      </c>
      <c r="I5" t="s">
        <v>42</v>
      </c>
      <c r="J5" t="s">
        <v>42</v>
      </c>
      <c r="K5" t="s">
        <v>43</v>
      </c>
      <c r="L5" t="s">
        <v>54</v>
      </c>
      <c r="M5" s="10">
        <v>99.75</v>
      </c>
      <c r="N5" s="10">
        <v>10.83</v>
      </c>
      <c r="O5" s="10">
        <f>M5+N5</f>
        <v>110.58</v>
      </c>
      <c r="P5">
        <v>1</v>
      </c>
      <c r="Q5" t="s">
        <v>45</v>
      </c>
      <c r="R5" t="s">
        <v>46</v>
      </c>
      <c r="S5" t="s">
        <v>47</v>
      </c>
      <c r="T5" s="10">
        <f>F5</f>
        <v>116.9</v>
      </c>
      <c r="U5" s="10">
        <v>0</v>
      </c>
      <c r="V5" s="11">
        <v>0.15</v>
      </c>
      <c r="W5" s="10">
        <f>T5*V5</f>
        <v>17.535</v>
      </c>
      <c r="X5" s="10">
        <v>0</v>
      </c>
      <c r="Y5" s="10">
        <f>O5+W5+X5</f>
        <v>128.11500000000001</v>
      </c>
      <c r="Z5" s="10">
        <f>(T5+U5)-Y5</f>
        <v>-11.215000000000003</v>
      </c>
      <c r="AA5" s="12">
        <f>Z5/T5</f>
        <v>-9.5936698032506443E-2</v>
      </c>
      <c r="AB5" s="12">
        <f>Z5/O5</f>
        <v>-0.10141978657985172</v>
      </c>
      <c r="AC5" t="s">
        <v>48</v>
      </c>
      <c r="AD5" t="s">
        <v>55</v>
      </c>
      <c r="AE5" t="s">
        <v>56</v>
      </c>
    </row>
    <row r="6" spans="1:31" x14ac:dyDescent="0.3">
      <c r="A6">
        <v>3</v>
      </c>
      <c r="B6" s="9">
        <v>46304</v>
      </c>
      <c r="C6" t="s">
        <v>57</v>
      </c>
      <c r="D6" t="s">
        <v>58</v>
      </c>
      <c r="E6" t="s">
        <v>59</v>
      </c>
      <c r="F6" s="10">
        <v>74.900000000000006</v>
      </c>
      <c r="G6" t="s">
        <v>42</v>
      </c>
      <c r="H6">
        <v>1449</v>
      </c>
      <c r="I6">
        <v>4.8</v>
      </c>
      <c r="J6">
        <v>3</v>
      </c>
      <c r="K6" t="s">
        <v>60</v>
      </c>
      <c r="L6" t="s">
        <v>61</v>
      </c>
      <c r="M6" s="10">
        <v>49.23</v>
      </c>
      <c r="N6" s="10">
        <v>9.6199999999999992</v>
      </c>
      <c r="O6" s="10">
        <f>M6+N6</f>
        <v>58.849999999999994</v>
      </c>
      <c r="P6">
        <v>1</v>
      </c>
      <c r="Q6" t="s">
        <v>45</v>
      </c>
      <c r="R6" t="s">
        <v>46</v>
      </c>
      <c r="S6" t="s">
        <v>47</v>
      </c>
      <c r="T6" s="10">
        <f>F6</f>
        <v>74.900000000000006</v>
      </c>
      <c r="U6" s="10">
        <v>0</v>
      </c>
      <c r="V6" s="11">
        <v>0.15</v>
      </c>
      <c r="W6" s="10">
        <f>T6*V6</f>
        <v>11.235000000000001</v>
      </c>
      <c r="X6" s="10">
        <v>0</v>
      </c>
      <c r="Y6" s="10">
        <f>O6+W6+X6</f>
        <v>70.084999999999994</v>
      </c>
      <c r="Z6" s="10">
        <f>(T6+U6)-Y6</f>
        <v>4.8150000000000119</v>
      </c>
      <c r="AA6" s="12">
        <f>Z6/T6</f>
        <v>6.4285714285714446E-2</v>
      </c>
      <c r="AB6" s="12">
        <f>Z6/O6</f>
        <v>8.1818181818182026E-2</v>
      </c>
      <c r="AC6" t="s">
        <v>48</v>
      </c>
      <c r="AD6" t="s">
        <v>49</v>
      </c>
      <c r="AE6" t="s">
        <v>62</v>
      </c>
    </row>
    <row r="7" spans="1:31" x14ac:dyDescent="0.3">
      <c r="A7">
        <v>4</v>
      </c>
      <c r="B7" s="9">
        <v>46304</v>
      </c>
      <c r="C7" t="s">
        <v>63</v>
      </c>
      <c r="D7" t="s">
        <v>64</v>
      </c>
      <c r="E7" t="s">
        <v>65</v>
      </c>
      <c r="F7" s="10">
        <v>79.900000000000006</v>
      </c>
      <c r="G7" t="s">
        <v>42</v>
      </c>
      <c r="H7" t="s">
        <v>42</v>
      </c>
      <c r="I7" t="s">
        <v>42</v>
      </c>
      <c r="J7" t="s">
        <v>42</v>
      </c>
      <c r="K7" t="s">
        <v>43</v>
      </c>
      <c r="L7" t="s">
        <v>66</v>
      </c>
      <c r="M7" s="10">
        <v>25.88</v>
      </c>
      <c r="N7" s="10">
        <v>9.6199999999999992</v>
      </c>
      <c r="O7" s="10">
        <f>M7+N7</f>
        <v>35.5</v>
      </c>
      <c r="P7">
        <v>1</v>
      </c>
      <c r="Q7" t="s">
        <v>45</v>
      </c>
      <c r="R7" t="s">
        <v>46</v>
      </c>
      <c r="S7" t="s">
        <v>47</v>
      </c>
      <c r="T7" s="10">
        <f>F7</f>
        <v>79.900000000000006</v>
      </c>
      <c r="U7" s="10">
        <v>0</v>
      </c>
      <c r="V7" s="11">
        <v>0.15</v>
      </c>
      <c r="W7" s="10">
        <f>T7*V7</f>
        <v>11.985000000000001</v>
      </c>
      <c r="X7" s="10">
        <v>0</v>
      </c>
      <c r="Y7" s="10">
        <f>O7+W7+X7</f>
        <v>47.484999999999999</v>
      </c>
      <c r="Z7" s="10">
        <f>(T7+U7)-Y7</f>
        <v>32.415000000000006</v>
      </c>
      <c r="AA7" s="12">
        <f>Z7/T7</f>
        <v>0.40569461827284109</v>
      </c>
      <c r="AB7" s="12">
        <f>Z7/O7</f>
        <v>0.91309859154929596</v>
      </c>
      <c r="AC7" t="s">
        <v>48</v>
      </c>
      <c r="AD7" t="s">
        <v>55</v>
      </c>
      <c r="AE7" t="s">
        <v>67</v>
      </c>
    </row>
    <row r="8" spans="1:31" x14ac:dyDescent="0.3">
      <c r="A8">
        <v>5</v>
      </c>
      <c r="B8" s="9">
        <v>46304</v>
      </c>
      <c r="C8" t="s">
        <v>68</v>
      </c>
      <c r="D8" t="s">
        <v>69</v>
      </c>
      <c r="E8" t="s">
        <v>70</v>
      </c>
      <c r="F8" s="10">
        <v>52.69</v>
      </c>
      <c r="G8" t="s">
        <v>42</v>
      </c>
      <c r="H8">
        <v>4</v>
      </c>
      <c r="I8">
        <v>2.6</v>
      </c>
      <c r="J8">
        <v>1</v>
      </c>
      <c r="K8" t="s">
        <v>43</v>
      </c>
      <c r="L8" t="s">
        <v>71</v>
      </c>
      <c r="M8" s="10">
        <v>25.4</v>
      </c>
      <c r="N8" s="10">
        <v>9.6199999999999992</v>
      </c>
      <c r="O8" s="10">
        <f>M8+N8</f>
        <v>35.019999999999996</v>
      </c>
      <c r="P8">
        <v>1</v>
      </c>
      <c r="Q8" t="s">
        <v>45</v>
      </c>
      <c r="R8" t="s">
        <v>46</v>
      </c>
      <c r="S8" t="s">
        <v>47</v>
      </c>
      <c r="T8" s="10">
        <f>F8</f>
        <v>52.69</v>
      </c>
      <c r="U8" s="10">
        <v>0</v>
      </c>
      <c r="V8" s="11">
        <v>0.15</v>
      </c>
      <c r="W8" s="10">
        <f>T8*V8</f>
        <v>7.9034999999999993</v>
      </c>
      <c r="X8" s="10">
        <v>0</v>
      </c>
      <c r="Y8" s="10">
        <f>O8+W8+X8</f>
        <v>42.923499999999997</v>
      </c>
      <c r="Z8" s="10">
        <f>(T8+U8)-Y8</f>
        <v>9.7665000000000006</v>
      </c>
      <c r="AA8" s="12">
        <f>Z8/T8</f>
        <v>0.18535775289428735</v>
      </c>
      <c r="AB8" s="12">
        <f>Z8/O8</f>
        <v>0.2788834951456311</v>
      </c>
      <c r="AC8" t="s">
        <v>48</v>
      </c>
      <c r="AD8" t="s">
        <v>55</v>
      </c>
      <c r="AE8" t="s">
        <v>72</v>
      </c>
    </row>
  </sheetData>
  <mergeCells count="8">
    <mergeCell ref="A1:AE1"/>
    <mergeCell ref="A2:D2"/>
    <mergeCell ref="E2:J2"/>
    <mergeCell ref="K2:O2"/>
    <mergeCell ref="P2:S2"/>
    <mergeCell ref="T2:Y2"/>
    <mergeCell ref="Z2:AB2"/>
    <mergeCell ref="AC2:A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Viabilidade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</dc:creator>
  <cp:lastModifiedBy>Carlos Daniel</cp:lastModifiedBy>
  <dcterms:created xsi:type="dcterms:W3CDTF">2026-09-12T03:39:39Z</dcterms:created>
  <dcterms:modified xsi:type="dcterms:W3CDTF">2026-09-12T03:39:57Z</dcterms:modified>
</cp:coreProperties>
</file>